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reta\SML Dropbox\manuscript\ms-hydromoth-citizen-science\manuscript\"/>
    </mc:Choice>
  </mc:AlternateContent>
  <xr:revisionPtr revIDLastSave="0" documentId="13_ncr:1_{0D0D10EF-57F3-40E0-9395-B75716B368B6}" xr6:coauthVersionLast="47" xr6:coauthVersionMax="47" xr10:uidLastSave="{00000000-0000-0000-0000-000000000000}"/>
  <bookViews>
    <workbookView xWindow="-120" yWindow="-120" windowWidth="29040" windowHeight="15840" xr2:uid="{2B356F33-2D3B-41A4-B107-C94D1FEDE1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R11" i="1"/>
  <c r="R12" i="1"/>
  <c r="R13" i="1"/>
  <c r="R14" i="1"/>
  <c r="S14" i="1" s="1"/>
  <c r="R15" i="1"/>
  <c r="S15" i="1" s="1"/>
  <c r="R16" i="1"/>
  <c r="R17" i="1"/>
  <c r="S17" i="1" s="1"/>
  <c r="R18" i="1"/>
  <c r="S18" i="1" s="1"/>
  <c r="R19" i="1"/>
  <c r="S19" i="1" s="1"/>
  <c r="R20" i="1"/>
  <c r="R21" i="1"/>
  <c r="R22" i="1"/>
  <c r="S22" i="1" s="1"/>
  <c r="R23" i="1"/>
  <c r="R24" i="1"/>
  <c r="R25" i="1"/>
  <c r="S25" i="1" s="1"/>
  <c r="R26" i="1"/>
  <c r="S26" i="1" s="1"/>
  <c r="R27" i="1"/>
  <c r="S27" i="1" s="1"/>
  <c r="R28" i="1"/>
  <c r="R29" i="1"/>
  <c r="R30" i="1"/>
  <c r="R31" i="1"/>
  <c r="R32" i="1"/>
  <c r="R33" i="1"/>
  <c r="S33" i="1" s="1"/>
  <c r="R10" i="1"/>
  <c r="S10" i="1" s="1"/>
  <c r="R7" i="1"/>
  <c r="R9" i="1"/>
  <c r="R2" i="1"/>
  <c r="R3" i="1"/>
  <c r="S3" i="1" s="1"/>
  <c r="R4" i="1"/>
  <c r="R5" i="1"/>
  <c r="R6" i="1"/>
  <c r="S6" i="1" s="1"/>
  <c r="S16" i="1"/>
  <c r="S21" i="1"/>
  <c r="S24" i="1"/>
  <c r="S28" i="1"/>
  <c r="S30" i="1"/>
  <c r="S32" i="1"/>
  <c r="S4" i="1"/>
  <c r="S7" i="1"/>
  <c r="S9" i="1"/>
  <c r="S31" i="1"/>
  <c r="S29" i="1"/>
  <c r="S5" i="1"/>
  <c r="S12" i="1"/>
  <c r="S13" i="1"/>
  <c r="S20" i="1"/>
  <c r="S23" i="1"/>
  <c r="S11" i="1"/>
  <c r="S2" i="1" l="1"/>
</calcChain>
</file>

<file path=xl/sharedStrings.xml><?xml version="1.0" encoding="utf-8"?>
<sst xmlns="http://schemas.openxmlformats.org/spreadsheetml/2006/main" count="400" uniqueCount="102">
  <si>
    <t>deploymentDateTime (UTC)</t>
  </si>
  <si>
    <t>deploymentLongitude</t>
  </si>
  <si>
    <t>deploymentLatitude</t>
  </si>
  <si>
    <t>recoveryDateTime (UTC)</t>
  </si>
  <si>
    <t>recoveryLongitude</t>
  </si>
  <si>
    <t>recoveryLatitude</t>
  </si>
  <si>
    <t>Port Vendres, France</t>
  </si>
  <si>
    <t>NA</t>
  </si>
  <si>
    <t>low-medium</t>
  </si>
  <si>
    <t>low</t>
  </si>
  <si>
    <t>whistles</t>
  </si>
  <si>
    <t>medium</t>
  </si>
  <si>
    <t>Globicephala melas|Tursiops truncatus</t>
  </si>
  <si>
    <t>Physeter macrocephalus</t>
  </si>
  <si>
    <t>Grampus griseus</t>
  </si>
  <si>
    <t>Tursiops truncatus</t>
  </si>
  <si>
    <t>Stenella coeruleoalba</t>
  </si>
  <si>
    <t>Globicephala melas</t>
  </si>
  <si>
    <t xml:space="preserve">Tursiops truncatus | Physeter macrocephalus | Delphinidae spp. </t>
  </si>
  <si>
    <t>deploymentType</t>
  </si>
  <si>
    <t>site</t>
  </si>
  <si>
    <t>weight (g)</t>
  </si>
  <si>
    <t>depth (m)</t>
  </si>
  <si>
    <t>gain</t>
  </si>
  <si>
    <t>dutyCycle (s)</t>
  </si>
  <si>
    <t>5 | 55</t>
  </si>
  <si>
    <t>180 | 60</t>
  </si>
  <si>
    <t>timeRecorded (s)</t>
  </si>
  <si>
    <t>visualSightings</t>
  </si>
  <si>
    <t>groupSize</t>
  </si>
  <si>
    <t>deploymentMethod</t>
  </si>
  <si>
    <t>acousticDetection</t>
  </si>
  <si>
    <t xml:space="preserve">signalType </t>
  </si>
  <si>
    <t>observations</t>
  </si>
  <si>
    <t>Delphinidae spp.</t>
  </si>
  <si>
    <t>Cabrera island, Spain</t>
  </si>
  <si>
    <t>Columbretes islands, Spain</t>
  </si>
  <si>
    <t>Balearic islands, Spain</t>
  </si>
  <si>
    <t>Tarifa, Spain</t>
  </si>
  <si>
    <t>echolocation clicks</t>
  </si>
  <si>
    <t>echolocation clicks, whistles</t>
  </si>
  <si>
    <t>Sóller, Mallorca island, Spain</t>
  </si>
  <si>
    <t>F_D01</t>
  </si>
  <si>
    <t>F_D02</t>
  </si>
  <si>
    <t>F_D03</t>
  </si>
  <si>
    <t>F_D04</t>
  </si>
  <si>
    <t>F_D05</t>
  </si>
  <si>
    <t>F_D06</t>
  </si>
  <si>
    <t>F_D07</t>
  </si>
  <si>
    <t>F_D08</t>
  </si>
  <si>
    <t>B_D09</t>
  </si>
  <si>
    <t>B_D01</t>
  </si>
  <si>
    <t>B_D02</t>
  </si>
  <si>
    <t>B_D03</t>
  </si>
  <si>
    <t>B_D04</t>
  </si>
  <si>
    <t>B_D05</t>
  </si>
  <si>
    <t>B_D06</t>
  </si>
  <si>
    <t>B_D07</t>
  </si>
  <si>
    <t>B_D08</t>
  </si>
  <si>
    <t>B_D10</t>
  </si>
  <si>
    <t>B_D11</t>
  </si>
  <si>
    <t>B_D12</t>
  </si>
  <si>
    <t>B_D13</t>
  </si>
  <si>
    <t>B_D14</t>
  </si>
  <si>
    <t>B_D15</t>
  </si>
  <si>
    <t>B_D16</t>
  </si>
  <si>
    <t>B_D17</t>
  </si>
  <si>
    <t>B_D18</t>
  </si>
  <si>
    <t>B_D19</t>
  </si>
  <si>
    <t>B_D20</t>
  </si>
  <si>
    <t>B_D21</t>
  </si>
  <si>
    <t>B_D22</t>
  </si>
  <si>
    <t>deploymentID</t>
  </si>
  <si>
    <t>anchored FAD</t>
  </si>
  <si>
    <t>trammel net gear</t>
  </si>
  <si>
    <t>boat</t>
  </si>
  <si>
    <t>sailing boat</t>
  </si>
  <si>
    <t>deploymentPlatform</t>
  </si>
  <si>
    <t>mounted</t>
  </si>
  <si>
    <t>towed on a weighted line</t>
  </si>
  <si>
    <t>boat engine idling</t>
  </si>
  <si>
    <t>boat engine off</t>
  </si>
  <si>
    <t>presence of vessels</t>
  </si>
  <si>
    <t xml:space="preserve">boat engine off </t>
  </si>
  <si>
    <t>echolocation  clicks, whistles</t>
  </si>
  <si>
    <t>bottomDepth (m)</t>
  </si>
  <si>
    <t>boat engine off; group included 1-2 calves</t>
  </si>
  <si>
    <t>timeRecorded (min)</t>
  </si>
  <si>
    <t>mixed-species sighting; some files were removed due to loud surface noise.</t>
  </si>
  <si>
    <t>B_D23</t>
  </si>
  <si>
    <t>B_D24</t>
  </si>
  <si>
    <t>boat engine off; deployment noise in first file</t>
  </si>
  <si>
    <t xml:space="preserve">Tursiops truncatus | Physeter macrocephalus </t>
  </si>
  <si>
    <t>mixed-species sighting; some files were removed from published dataset due to loud surface noise.</t>
  </si>
  <si>
    <t>longline gear</t>
  </si>
  <si>
    <t>fishing operations</t>
  </si>
  <si>
    <t>boat-based surveys</t>
  </si>
  <si>
    <t>samplingRate (kHz)</t>
  </si>
  <si>
    <t>7 | 1</t>
  </si>
  <si>
    <t>species in "visual sightings" were identified using drone footage; only files with detections are included in acoustic data repository</t>
  </si>
  <si>
    <t>no species deteted, not included in acoustic data repository</t>
  </si>
  <si>
    <t>only files with detections are included in acoustic data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</si>
</sst>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0.0"/>
    <numFmt numFmtId="167" formatCode="0.000"/>
  </numFmts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rial Unicode MS"/>
      <family val="2"/>
    </font>
    <font>
      <sz val="11"/>
      <name val="Aptos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22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/>
    </xf>
    <xf numFmtId="2" fontId="0" fillId="0" borderId="0" xfId="0" applyNumberFormat="1"/>
    <xf numFmtId="0" fontId="2" fillId="0" borderId="0" xfId="0" applyFont="1" applyAlignment="1">
      <alignment horizontal="left"/>
    </xf>
    <xf numFmtId="22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" fontId="2" fillId="0" borderId="0" xfId="0" applyNumberFormat="1" applyFont="1"/>
    <xf numFmtId="2" fontId="2" fillId="0" borderId="0" xfId="0" applyNumberFormat="1" applyFont="1"/>
    <xf numFmtId="166" fontId="0" fillId="0" borderId="0" xfId="0" applyNumberFormat="1"/>
    <xf numFmtId="1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2" fillId="0" borderId="0" xfId="0" applyNumberFormat="1" applyFont="1"/>
    <xf numFmtId="1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0" fontId="7" fillId="0" borderId="0" xfId="0" applyFont="1" applyAlignment="1">
      <alignment horizontal="left"/>
    </xf>
    <xf numFmtId="167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F6D4-EA07-43B2-A588-8F9163FEC0D5}">
  <dimension ref="A1:X77"/>
  <sheetViews>
    <sheetView tabSelected="1" zoomScale="82" zoomScaleNormal="82" workbookViewId="0">
      <selection activeCell="C7" sqref="C7"/>
    </sheetView>
  </sheetViews>
  <sheetFormatPr defaultColWidth="8.85546875" defaultRowHeight="15"/>
  <cols>
    <col min="1" max="2" width="21" customWidth="1"/>
    <col min="3" max="3" width="25.7109375" style="3" customWidth="1"/>
    <col min="4" max="4" width="25.85546875" customWidth="1"/>
    <col min="5" max="5" width="20.85546875" customWidth="1"/>
    <col min="6" max="6" width="19.140625" customWidth="1"/>
    <col min="7" max="7" width="23.42578125" customWidth="1"/>
    <col min="8" max="8" width="19" customWidth="1"/>
    <col min="9" max="9" width="17.42578125" customWidth="1"/>
    <col min="10" max="10" width="20.85546875" customWidth="1"/>
    <col min="11" max="11" width="23.5703125" customWidth="1"/>
    <col min="12" max="12" width="11" customWidth="1"/>
    <col min="13" max="13" width="10.28515625" customWidth="1"/>
    <col min="14" max="14" width="16.85546875" customWidth="1"/>
    <col min="15" max="15" width="19.5703125" style="2" customWidth="1"/>
    <col min="16" max="16" width="14.140625" customWidth="1"/>
    <col min="17" max="17" width="14.5703125" customWidth="1"/>
    <col min="18" max="18" width="17.28515625" customWidth="1"/>
    <col min="19" max="19" width="19.140625" style="2" customWidth="1"/>
    <col min="20" max="20" width="39.85546875" customWidth="1"/>
    <col min="21" max="21" width="13" customWidth="1"/>
    <col min="22" max="22" width="55.5703125" style="1" customWidth="1"/>
    <col min="23" max="23" width="28.42578125" style="1" customWidth="1"/>
    <col min="24" max="24" width="86.7109375" style="1" customWidth="1"/>
    <col min="25" max="25" width="32" customWidth="1"/>
  </cols>
  <sheetData>
    <row r="1" spans="1:24" s="6" customFormat="1">
      <c r="A1" s="6" t="s">
        <v>72</v>
      </c>
      <c r="B1" s="6" t="s">
        <v>19</v>
      </c>
      <c r="C1" s="6" t="s">
        <v>20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77</v>
      </c>
      <c r="K1" s="6" t="s">
        <v>30</v>
      </c>
      <c r="L1" s="6" t="s">
        <v>21</v>
      </c>
      <c r="M1" s="6" t="s">
        <v>22</v>
      </c>
      <c r="N1" s="29" t="s">
        <v>85</v>
      </c>
      <c r="O1" s="6" t="s">
        <v>97</v>
      </c>
      <c r="P1" s="6" t="s">
        <v>23</v>
      </c>
      <c r="Q1" s="8" t="s">
        <v>24</v>
      </c>
      <c r="R1" s="6" t="s">
        <v>27</v>
      </c>
      <c r="S1" s="6" t="s">
        <v>87</v>
      </c>
      <c r="T1" s="6" t="s">
        <v>28</v>
      </c>
      <c r="U1" s="6" t="s">
        <v>29</v>
      </c>
      <c r="V1" s="7" t="s">
        <v>31</v>
      </c>
      <c r="W1" s="7" t="s">
        <v>32</v>
      </c>
      <c r="X1" s="6" t="s">
        <v>33</v>
      </c>
    </row>
    <row r="2" spans="1:24" s="4" customFormat="1">
      <c r="A2" s="4" t="s">
        <v>42</v>
      </c>
      <c r="B2" s="4" t="s">
        <v>95</v>
      </c>
      <c r="C2" s="4" t="s">
        <v>6</v>
      </c>
      <c r="D2" s="5">
        <v>45116.075694444444</v>
      </c>
      <c r="E2" s="9">
        <v>3.23176</v>
      </c>
      <c r="F2" s="9">
        <v>42.605319999999999</v>
      </c>
      <c r="G2" s="5">
        <v>45116.191666666666</v>
      </c>
      <c r="H2" s="9">
        <v>3.21407</v>
      </c>
      <c r="I2" s="9">
        <v>42.603859999999997</v>
      </c>
      <c r="J2" s="4" t="s">
        <v>94</v>
      </c>
      <c r="K2" s="4" t="s">
        <v>78</v>
      </c>
      <c r="L2" s="4" t="s">
        <v>7</v>
      </c>
      <c r="M2" s="4">
        <v>10</v>
      </c>
      <c r="N2" s="4">
        <v>-87</v>
      </c>
      <c r="O2" s="4">
        <v>96</v>
      </c>
      <c r="P2" s="4" t="s">
        <v>9</v>
      </c>
      <c r="Q2" s="4" t="s">
        <v>25</v>
      </c>
      <c r="R2" s="23">
        <f t="shared" ref="R2:R6" si="0">(G2-D2)*1440*(55/60)*60</f>
        <v>9184.9999999743886</v>
      </c>
      <c r="S2" s="24">
        <f>R2/60</f>
        <v>153.08333333290648</v>
      </c>
      <c r="T2" s="4" t="s">
        <v>7</v>
      </c>
      <c r="U2" s="4" t="s">
        <v>7</v>
      </c>
      <c r="V2" s="4" t="s">
        <v>7</v>
      </c>
      <c r="W2" s="4" t="s">
        <v>7</v>
      </c>
      <c r="X2" s="4" t="s">
        <v>100</v>
      </c>
    </row>
    <row r="3" spans="1:24" s="4" customFormat="1">
      <c r="A3" s="4" t="s">
        <v>43</v>
      </c>
      <c r="B3" s="4" t="s">
        <v>95</v>
      </c>
      <c r="C3" s="4" t="s">
        <v>6</v>
      </c>
      <c r="D3" s="5">
        <v>45117.088194444441</v>
      </c>
      <c r="E3" s="9">
        <v>3.2281184000000001</v>
      </c>
      <c r="F3" s="9">
        <v>42.626286</v>
      </c>
      <c r="G3" s="5">
        <v>45117.182638888888</v>
      </c>
      <c r="H3" s="9">
        <v>3.2236774000000001</v>
      </c>
      <c r="I3" s="9">
        <v>42.620975000000001</v>
      </c>
      <c r="J3" s="4" t="s">
        <v>94</v>
      </c>
      <c r="K3" s="4" t="s">
        <v>78</v>
      </c>
      <c r="L3" s="4" t="s">
        <v>7</v>
      </c>
      <c r="M3" s="4">
        <v>10</v>
      </c>
      <c r="N3" s="4">
        <v>-85</v>
      </c>
      <c r="O3" s="4">
        <v>96</v>
      </c>
      <c r="P3" s="4" t="s">
        <v>9</v>
      </c>
      <c r="Q3" s="4" t="s">
        <v>25</v>
      </c>
      <c r="R3" s="23">
        <f t="shared" si="0"/>
        <v>7480.0000001792796</v>
      </c>
      <c r="S3" s="24">
        <f t="shared" ref="S3:S9" si="1">R3/60</f>
        <v>124.66666666965466</v>
      </c>
      <c r="T3" s="4" t="s">
        <v>7</v>
      </c>
      <c r="U3" s="4" t="s">
        <v>7</v>
      </c>
      <c r="V3" s="4" t="s">
        <v>7</v>
      </c>
      <c r="W3" s="4" t="s">
        <v>7</v>
      </c>
      <c r="X3" s="4" t="s">
        <v>100</v>
      </c>
    </row>
    <row r="4" spans="1:24" s="4" customFormat="1">
      <c r="A4" s="4" t="s">
        <v>44</v>
      </c>
      <c r="B4" s="4" t="s">
        <v>95</v>
      </c>
      <c r="C4" s="4" t="s">
        <v>6</v>
      </c>
      <c r="D4" s="5">
        <v>45118.059027777781</v>
      </c>
      <c r="E4" s="9">
        <v>3.2068430000000001</v>
      </c>
      <c r="F4" s="9">
        <v>42.618125999999997</v>
      </c>
      <c r="G4" s="5">
        <v>45118.21875</v>
      </c>
      <c r="H4" s="9">
        <v>3.1860300000000001</v>
      </c>
      <c r="I4" s="9">
        <v>42.616664999999998</v>
      </c>
      <c r="J4" s="4" t="s">
        <v>94</v>
      </c>
      <c r="K4" s="4" t="s">
        <v>78</v>
      </c>
      <c r="L4" s="4" t="s">
        <v>7</v>
      </c>
      <c r="M4" s="4">
        <v>10</v>
      </c>
      <c r="N4" s="4">
        <v>-78</v>
      </c>
      <c r="O4" s="4">
        <v>96</v>
      </c>
      <c r="P4" s="4" t="s">
        <v>9</v>
      </c>
      <c r="Q4" s="4" t="s">
        <v>25</v>
      </c>
      <c r="R4" s="23">
        <f t="shared" si="0"/>
        <v>12649.999999743886</v>
      </c>
      <c r="S4" s="24">
        <f>R4/60</f>
        <v>210.83333332906477</v>
      </c>
      <c r="T4" s="4" t="s">
        <v>7</v>
      </c>
      <c r="U4" s="4" t="s">
        <v>7</v>
      </c>
      <c r="V4" s="4" t="s">
        <v>7</v>
      </c>
      <c r="W4" s="4" t="s">
        <v>7</v>
      </c>
      <c r="X4" s="4" t="s">
        <v>100</v>
      </c>
    </row>
    <row r="5" spans="1:24" s="4" customFormat="1">
      <c r="A5" s="4" t="s">
        <v>45</v>
      </c>
      <c r="B5" s="4" t="s">
        <v>95</v>
      </c>
      <c r="C5" s="4" t="s">
        <v>6</v>
      </c>
      <c r="D5" s="5">
        <v>45121.126388888886</v>
      </c>
      <c r="E5" s="25">
        <v>3.1821630000000001</v>
      </c>
      <c r="F5" s="25">
        <v>42.611849999999997</v>
      </c>
      <c r="G5" s="5">
        <v>45121.224999999999</v>
      </c>
      <c r="H5" s="9">
        <v>3.2300770000000001</v>
      </c>
      <c r="I5" s="25">
        <v>42.637886000000002</v>
      </c>
      <c r="J5" s="4" t="s">
        <v>94</v>
      </c>
      <c r="K5" s="4" t="s">
        <v>78</v>
      </c>
      <c r="L5" s="4" t="s">
        <v>7</v>
      </c>
      <c r="M5" s="4">
        <v>20</v>
      </c>
      <c r="N5" s="4">
        <v>-65</v>
      </c>
      <c r="O5" s="4">
        <v>96</v>
      </c>
      <c r="P5" s="4" t="s">
        <v>9</v>
      </c>
      <c r="Q5" s="4" t="s">
        <v>25</v>
      </c>
      <c r="R5" s="23">
        <f t="shared" si="0"/>
        <v>7810.0000001024455</v>
      </c>
      <c r="S5" s="24">
        <f>R5/60</f>
        <v>130.16666666837409</v>
      </c>
      <c r="T5" s="4" t="s">
        <v>7</v>
      </c>
      <c r="U5" s="4" t="s">
        <v>7</v>
      </c>
      <c r="V5" s="4" t="s">
        <v>34</v>
      </c>
      <c r="W5" s="4" t="s">
        <v>10</v>
      </c>
      <c r="X5" s="4" t="s">
        <v>101</v>
      </c>
    </row>
    <row r="6" spans="1:24" s="4" customFormat="1">
      <c r="A6" s="4" t="s">
        <v>46</v>
      </c>
      <c r="B6" s="4" t="s">
        <v>95</v>
      </c>
      <c r="C6" s="4" t="s">
        <v>6</v>
      </c>
      <c r="D6" s="5">
        <v>45121.126388888886</v>
      </c>
      <c r="E6" s="25">
        <v>3.2415185000000002</v>
      </c>
      <c r="F6" s="25">
        <v>42.655304000000001</v>
      </c>
      <c r="G6" s="5">
        <v>45121.224999999999</v>
      </c>
      <c r="H6" s="25">
        <v>3.2373509999999999</v>
      </c>
      <c r="I6" s="25">
        <v>42.650204000000002</v>
      </c>
      <c r="J6" s="4" t="s">
        <v>94</v>
      </c>
      <c r="K6" s="4" t="s">
        <v>78</v>
      </c>
      <c r="L6" s="4" t="s">
        <v>7</v>
      </c>
      <c r="M6" s="4">
        <v>10</v>
      </c>
      <c r="N6" s="4">
        <v>-86</v>
      </c>
      <c r="O6" s="4">
        <v>96</v>
      </c>
      <c r="P6" s="4" t="s">
        <v>9</v>
      </c>
      <c r="Q6" s="4" t="s">
        <v>25</v>
      </c>
      <c r="R6" s="23">
        <f t="shared" si="0"/>
        <v>7810.0000001024455</v>
      </c>
      <c r="S6" s="24">
        <f>R6/60</f>
        <v>130.16666666837409</v>
      </c>
      <c r="T6" s="4" t="s">
        <v>7</v>
      </c>
      <c r="U6" s="4" t="s">
        <v>7</v>
      </c>
      <c r="V6" s="4" t="s">
        <v>7</v>
      </c>
      <c r="W6" s="4" t="s">
        <v>7</v>
      </c>
      <c r="X6" s="4" t="s">
        <v>100</v>
      </c>
    </row>
    <row r="7" spans="1:24" s="4" customFormat="1">
      <c r="A7" s="4" t="s">
        <v>47</v>
      </c>
      <c r="B7" s="4" t="s">
        <v>95</v>
      </c>
      <c r="C7" s="4" t="s">
        <v>6</v>
      </c>
      <c r="D7" s="5">
        <v>45121.140277777777</v>
      </c>
      <c r="E7" s="25">
        <v>3.1821630000000001</v>
      </c>
      <c r="F7" s="25">
        <v>42.611849999999997</v>
      </c>
      <c r="G7" s="5">
        <v>45121.210358796299</v>
      </c>
      <c r="H7" s="9">
        <v>3.2300770000000001</v>
      </c>
      <c r="I7" s="25">
        <v>42.637886000000002</v>
      </c>
      <c r="J7" s="4" t="s">
        <v>94</v>
      </c>
      <c r="K7" s="4" t="s">
        <v>78</v>
      </c>
      <c r="L7" s="4" t="s">
        <v>7</v>
      </c>
      <c r="M7" s="4">
        <v>10</v>
      </c>
      <c r="N7" s="4">
        <v>-65</v>
      </c>
      <c r="O7" s="4">
        <v>96</v>
      </c>
      <c r="P7" s="4" t="s">
        <v>9</v>
      </c>
      <c r="Q7" s="4" t="s">
        <v>25</v>
      </c>
      <c r="R7" s="23">
        <f>(G7-D7)*1440*(55/60)*60</f>
        <v>5550.4166669910774</v>
      </c>
      <c r="S7" s="24">
        <f>R7/60</f>
        <v>92.506944449851289</v>
      </c>
      <c r="T7" s="4" t="s">
        <v>7</v>
      </c>
      <c r="U7" s="4" t="s">
        <v>7</v>
      </c>
      <c r="V7" s="4" t="s">
        <v>7</v>
      </c>
      <c r="W7" s="4" t="s">
        <v>7</v>
      </c>
      <c r="X7" s="4" t="s">
        <v>100</v>
      </c>
    </row>
    <row r="8" spans="1:24" s="4" customFormat="1">
      <c r="A8" s="4" t="s">
        <v>48</v>
      </c>
      <c r="B8" s="4" t="s">
        <v>95</v>
      </c>
      <c r="C8" s="4" t="s">
        <v>41</v>
      </c>
      <c r="D8" s="5">
        <v>45210.416666666664</v>
      </c>
      <c r="E8" s="9">
        <v>2.5860166666666</v>
      </c>
      <c r="F8" s="9">
        <v>39.981067000000003</v>
      </c>
      <c r="G8" s="5">
        <v>45213.289583333331</v>
      </c>
      <c r="H8" s="9">
        <v>2.5860166666666</v>
      </c>
      <c r="I8" s="9">
        <v>39.981067000000003</v>
      </c>
      <c r="J8" s="4" t="s">
        <v>73</v>
      </c>
      <c r="K8" s="4" t="s">
        <v>78</v>
      </c>
      <c r="L8" s="4" t="s">
        <v>7</v>
      </c>
      <c r="M8" s="4">
        <v>3</v>
      </c>
      <c r="N8" s="4">
        <v>-1317</v>
      </c>
      <c r="O8" s="4">
        <v>96</v>
      </c>
      <c r="P8" s="4" t="s">
        <v>8</v>
      </c>
      <c r="Q8" s="4" t="s">
        <v>26</v>
      </c>
      <c r="R8" s="23">
        <v>61622</v>
      </c>
      <c r="S8" s="24">
        <f>R8/60</f>
        <v>1027.0333333333333</v>
      </c>
      <c r="T8" s="4" t="s">
        <v>92</v>
      </c>
      <c r="U8" s="4" t="s">
        <v>98</v>
      </c>
      <c r="V8" s="4" t="s">
        <v>18</v>
      </c>
      <c r="W8" s="4" t="s">
        <v>40</v>
      </c>
      <c r="X8" s="4" t="s">
        <v>99</v>
      </c>
    </row>
    <row r="9" spans="1:24" s="4" customFormat="1">
      <c r="A9" s="4" t="s">
        <v>49</v>
      </c>
      <c r="B9" s="4" t="s">
        <v>95</v>
      </c>
      <c r="C9" s="4" t="s">
        <v>35</v>
      </c>
      <c r="D9" s="5">
        <v>45531.7</v>
      </c>
      <c r="E9" s="9">
        <v>2.8987039999999999</v>
      </c>
      <c r="F9" s="9">
        <v>39.161333999999997</v>
      </c>
      <c r="G9" s="5">
        <v>45532.311111111114</v>
      </c>
      <c r="H9" s="9">
        <v>2.8987039999999999</v>
      </c>
      <c r="I9" s="9">
        <v>39.161333999999997</v>
      </c>
      <c r="J9" s="4" t="s">
        <v>74</v>
      </c>
      <c r="K9" s="4" t="s">
        <v>78</v>
      </c>
      <c r="L9" s="4" t="s">
        <v>7</v>
      </c>
      <c r="M9" s="4">
        <v>15</v>
      </c>
      <c r="N9" s="4">
        <v>-105</v>
      </c>
      <c r="O9" s="4">
        <v>96</v>
      </c>
      <c r="P9" s="4" t="s">
        <v>9</v>
      </c>
      <c r="Q9" s="4" t="s">
        <v>26</v>
      </c>
      <c r="R9" s="23">
        <f>(G9-D9)*1440*(60/240)*60</f>
        <v>13200.000000122236</v>
      </c>
      <c r="S9" s="24">
        <f t="shared" si="1"/>
        <v>220.00000000203727</v>
      </c>
      <c r="T9" s="4" t="s">
        <v>7</v>
      </c>
      <c r="U9" s="4" t="s">
        <v>7</v>
      </c>
      <c r="V9" s="4" t="s">
        <v>34</v>
      </c>
      <c r="W9" s="4" t="s">
        <v>39</v>
      </c>
      <c r="X9" s="4" t="s">
        <v>7</v>
      </c>
    </row>
    <row r="10" spans="1:24" s="4" customFormat="1">
      <c r="A10" s="4" t="s">
        <v>51</v>
      </c>
      <c r="B10" s="4" t="s">
        <v>96</v>
      </c>
      <c r="C10" s="4" t="s">
        <v>38</v>
      </c>
      <c r="D10" s="5">
        <v>44698.582638888889</v>
      </c>
      <c r="E10" s="9">
        <v>5.6372</v>
      </c>
      <c r="F10" s="9">
        <v>35.910220000000002</v>
      </c>
      <c r="G10" s="5">
        <v>44698.598553240743</v>
      </c>
      <c r="H10" s="9">
        <v>5.6372</v>
      </c>
      <c r="I10" s="9">
        <v>35.910220000000002</v>
      </c>
      <c r="J10" s="4" t="s">
        <v>75</v>
      </c>
      <c r="K10" s="4" t="s">
        <v>79</v>
      </c>
      <c r="L10" s="4">
        <v>500</v>
      </c>
      <c r="M10" s="4">
        <v>3</v>
      </c>
      <c r="N10" s="4">
        <v>909</v>
      </c>
      <c r="O10" s="4">
        <v>48</v>
      </c>
      <c r="P10" s="4" t="s">
        <v>11</v>
      </c>
      <c r="Q10" s="4" t="s">
        <v>25</v>
      </c>
      <c r="R10" s="23">
        <f>(G10-D10)*1440*(55/60)*60</f>
        <v>1260.4166668374091</v>
      </c>
      <c r="S10" s="24">
        <f>R10/60</f>
        <v>21.006944447290152</v>
      </c>
      <c r="T10" s="4" t="s">
        <v>12</v>
      </c>
      <c r="U10" s="4" t="s">
        <v>7</v>
      </c>
      <c r="V10" s="4" t="s">
        <v>12</v>
      </c>
      <c r="W10" s="4" t="s">
        <v>40</v>
      </c>
      <c r="X10" s="4" t="s">
        <v>88</v>
      </c>
    </row>
    <row r="11" spans="1:24" s="4" customFormat="1" ht="14.25" customHeight="1">
      <c r="A11" s="4" t="s">
        <v>52</v>
      </c>
      <c r="B11" s="4" t="s">
        <v>96</v>
      </c>
      <c r="C11" s="4" t="s">
        <v>38</v>
      </c>
      <c r="D11" s="5">
        <v>44698.582638888889</v>
      </c>
      <c r="E11" s="9">
        <v>5.6372</v>
      </c>
      <c r="F11" s="9">
        <v>35.910220000000002</v>
      </c>
      <c r="G11" s="5">
        <v>44698.598553240743</v>
      </c>
      <c r="H11" s="9">
        <v>5.6372</v>
      </c>
      <c r="I11" s="9">
        <v>35.910220000000002</v>
      </c>
      <c r="J11" s="4" t="s">
        <v>75</v>
      </c>
      <c r="K11" s="4" t="s">
        <v>79</v>
      </c>
      <c r="L11" s="4">
        <v>500</v>
      </c>
      <c r="M11" s="4">
        <v>3</v>
      </c>
      <c r="N11" s="4">
        <v>909</v>
      </c>
      <c r="O11" s="4">
        <v>384</v>
      </c>
      <c r="P11" s="4" t="s">
        <v>11</v>
      </c>
      <c r="Q11" s="4" t="s">
        <v>25</v>
      </c>
      <c r="R11" s="23">
        <f t="shared" ref="R11:R33" si="2">(G11-D11)*1440*(55/60)*60</f>
        <v>1260.4166668374091</v>
      </c>
      <c r="S11" s="24">
        <f>R11/60</f>
        <v>21.006944447290152</v>
      </c>
      <c r="T11" s="4" t="s">
        <v>12</v>
      </c>
      <c r="U11" s="4" t="s">
        <v>7</v>
      </c>
      <c r="V11" s="4" t="s">
        <v>12</v>
      </c>
      <c r="W11" s="4" t="s">
        <v>40</v>
      </c>
      <c r="X11" s="4" t="s">
        <v>93</v>
      </c>
    </row>
    <row r="12" spans="1:24" s="4" customFormat="1">
      <c r="A12" s="4" t="s">
        <v>53</v>
      </c>
      <c r="B12" s="4" t="s">
        <v>96</v>
      </c>
      <c r="C12" s="4" t="s">
        <v>35</v>
      </c>
      <c r="D12" s="5">
        <v>45157.336805555555</v>
      </c>
      <c r="E12" s="9">
        <v>3.1000679999999998</v>
      </c>
      <c r="F12" s="9">
        <v>39.094679999999997</v>
      </c>
      <c r="G12" s="5">
        <v>45157.337442129632</v>
      </c>
      <c r="H12" s="9">
        <v>3.100333</v>
      </c>
      <c r="I12" s="9">
        <v>39.094459999999998</v>
      </c>
      <c r="J12" s="4" t="s">
        <v>76</v>
      </c>
      <c r="K12" s="4" t="s">
        <v>79</v>
      </c>
      <c r="L12" s="4">
        <v>2000</v>
      </c>
      <c r="M12" s="4">
        <v>20</v>
      </c>
      <c r="N12" s="4">
        <v>-1241</v>
      </c>
      <c r="O12" s="4">
        <v>48</v>
      </c>
      <c r="P12" s="4" t="s">
        <v>8</v>
      </c>
      <c r="Q12" s="4" t="s">
        <v>25</v>
      </c>
      <c r="R12" s="23">
        <f t="shared" si="2"/>
        <v>50.416666927048936</v>
      </c>
      <c r="S12" s="24">
        <f t="shared" ref="S12:S28" si="3">R12/60</f>
        <v>0.84027778211748227</v>
      </c>
      <c r="T12" s="4" t="s">
        <v>13</v>
      </c>
      <c r="U12" s="4" t="s">
        <v>7</v>
      </c>
      <c r="V12" s="4" t="s">
        <v>13</v>
      </c>
      <c r="W12" s="4" t="s">
        <v>39</v>
      </c>
      <c r="X12" s="4" t="s">
        <v>80</v>
      </c>
    </row>
    <row r="13" spans="1:24" s="4" customFormat="1">
      <c r="A13" s="4" t="s">
        <v>54</v>
      </c>
      <c r="B13" s="4" t="s">
        <v>96</v>
      </c>
      <c r="C13" s="4" t="s">
        <v>35</v>
      </c>
      <c r="D13" s="5">
        <v>45157.48542824074</v>
      </c>
      <c r="E13" s="9">
        <v>3.0747070000000001</v>
      </c>
      <c r="F13" s="9">
        <v>39.009140000000002</v>
      </c>
      <c r="G13" s="5">
        <v>45157.48883101852</v>
      </c>
      <c r="H13" s="9">
        <v>3.075917</v>
      </c>
      <c r="I13" s="9">
        <v>39.009419999999999</v>
      </c>
      <c r="J13" s="4" t="s">
        <v>76</v>
      </c>
      <c r="K13" s="4" t="s">
        <v>79</v>
      </c>
      <c r="L13" s="4">
        <v>2000</v>
      </c>
      <c r="M13" s="4">
        <v>20</v>
      </c>
      <c r="N13" s="4">
        <v>-1661</v>
      </c>
      <c r="O13" s="4">
        <v>48</v>
      </c>
      <c r="P13" s="4" t="s">
        <v>8</v>
      </c>
      <c r="Q13" s="4" t="s">
        <v>25</v>
      </c>
      <c r="R13" s="23">
        <f t="shared" si="2"/>
        <v>269.50000018696301</v>
      </c>
      <c r="S13" s="24">
        <f t="shared" si="3"/>
        <v>4.4916666697827168</v>
      </c>
      <c r="T13" s="4" t="s">
        <v>13</v>
      </c>
      <c r="U13" s="4" t="s">
        <v>7</v>
      </c>
      <c r="V13" s="4" t="s">
        <v>13</v>
      </c>
      <c r="W13" s="4" t="s">
        <v>39</v>
      </c>
      <c r="X13" s="4" t="s">
        <v>80</v>
      </c>
    </row>
    <row r="14" spans="1:24" s="4" customFormat="1">
      <c r="A14" s="4" t="s">
        <v>55</v>
      </c>
      <c r="B14" s="4" t="s">
        <v>96</v>
      </c>
      <c r="C14" s="4" t="s">
        <v>35</v>
      </c>
      <c r="D14" s="5">
        <v>45158.42083333333</v>
      </c>
      <c r="E14" s="9">
        <v>2.820125</v>
      </c>
      <c r="F14" s="9">
        <v>38.925330000000002</v>
      </c>
      <c r="G14" s="5">
        <v>45158.421469907407</v>
      </c>
      <c r="H14" s="9">
        <v>2.8195950000000001</v>
      </c>
      <c r="I14" s="9">
        <v>38.92483</v>
      </c>
      <c r="J14" s="4" t="s">
        <v>76</v>
      </c>
      <c r="K14" s="4" t="s">
        <v>79</v>
      </c>
      <c r="L14" s="4">
        <v>2000</v>
      </c>
      <c r="M14" s="4">
        <v>20</v>
      </c>
      <c r="N14" s="4">
        <v>-377</v>
      </c>
      <c r="O14" s="4">
        <v>48</v>
      </c>
      <c r="P14" s="4" t="s">
        <v>8</v>
      </c>
      <c r="Q14" s="4" t="s">
        <v>25</v>
      </c>
      <c r="R14" s="23">
        <f t="shared" si="2"/>
        <v>50.416666927048936</v>
      </c>
      <c r="S14" s="24">
        <f>R14/60</f>
        <v>0.84027778211748227</v>
      </c>
      <c r="T14" s="4" t="s">
        <v>14</v>
      </c>
      <c r="U14" s="4" t="s">
        <v>7</v>
      </c>
      <c r="V14" s="4" t="s">
        <v>14</v>
      </c>
      <c r="W14" s="4" t="s">
        <v>39</v>
      </c>
      <c r="X14" s="4" t="s">
        <v>80</v>
      </c>
    </row>
    <row r="15" spans="1:24" s="4" customFormat="1">
      <c r="A15" s="4" t="s">
        <v>56</v>
      </c>
      <c r="B15" s="4" t="s">
        <v>96</v>
      </c>
      <c r="C15" s="4" t="s">
        <v>36</v>
      </c>
      <c r="D15" s="5">
        <v>45247.459722222222</v>
      </c>
      <c r="E15" s="9">
        <v>0.41910789999999998</v>
      </c>
      <c r="F15" s="9">
        <v>39.905711429999997</v>
      </c>
      <c r="G15" s="5">
        <v>45247.460358796299</v>
      </c>
      <c r="H15" s="9">
        <v>0.41910789999999998</v>
      </c>
      <c r="I15" s="9">
        <v>39.905711429999997</v>
      </c>
      <c r="J15" s="4" t="s">
        <v>75</v>
      </c>
      <c r="K15" s="4" t="s">
        <v>79</v>
      </c>
      <c r="L15" s="4">
        <v>2000</v>
      </c>
      <c r="M15" s="4">
        <v>15</v>
      </c>
      <c r="N15" s="4">
        <v>-81</v>
      </c>
      <c r="O15" s="4">
        <v>192</v>
      </c>
      <c r="P15" s="4" t="s">
        <v>8</v>
      </c>
      <c r="Q15" s="4" t="s">
        <v>25</v>
      </c>
      <c r="R15" s="23">
        <f t="shared" si="2"/>
        <v>50.416666927048936</v>
      </c>
      <c r="S15" s="24">
        <f t="shared" si="3"/>
        <v>0.84027778211748227</v>
      </c>
      <c r="T15" s="4" t="s">
        <v>15</v>
      </c>
      <c r="U15" s="4" t="s">
        <v>7</v>
      </c>
      <c r="V15" s="4" t="s">
        <v>15</v>
      </c>
      <c r="W15" s="4" t="s">
        <v>39</v>
      </c>
      <c r="X15" s="4" t="s">
        <v>80</v>
      </c>
    </row>
    <row r="16" spans="1:24" s="4" customFormat="1">
      <c r="A16" s="4" t="s">
        <v>57</v>
      </c>
      <c r="B16" s="4" t="s">
        <v>96</v>
      </c>
      <c r="C16" s="4" t="s">
        <v>36</v>
      </c>
      <c r="D16" s="5">
        <v>45247.53125</v>
      </c>
      <c r="E16" s="9">
        <v>0.72853867999999999</v>
      </c>
      <c r="F16" s="9">
        <v>39.855573229999997</v>
      </c>
      <c r="G16" s="5">
        <v>45247.537442129629</v>
      </c>
      <c r="H16" s="9">
        <v>0.72853867999999999</v>
      </c>
      <c r="I16" s="9">
        <v>39.855573229999997</v>
      </c>
      <c r="J16" s="4" t="s">
        <v>75</v>
      </c>
      <c r="K16" s="4" t="s">
        <v>79</v>
      </c>
      <c r="L16" s="4">
        <v>2000</v>
      </c>
      <c r="M16" s="4">
        <v>15</v>
      </c>
      <c r="N16" s="4">
        <v>-90</v>
      </c>
      <c r="O16" s="4">
        <v>192</v>
      </c>
      <c r="P16" s="4" t="s">
        <v>8</v>
      </c>
      <c r="Q16" s="4" t="s">
        <v>25</v>
      </c>
      <c r="R16" s="23">
        <f t="shared" si="2"/>
        <v>490.41666663251817</v>
      </c>
      <c r="S16" s="24">
        <f t="shared" si="3"/>
        <v>8.1736111105419695</v>
      </c>
      <c r="T16" s="4" t="s">
        <v>15</v>
      </c>
      <c r="U16" s="4" t="s">
        <v>7</v>
      </c>
      <c r="V16" s="4" t="s">
        <v>15</v>
      </c>
      <c r="W16" s="4" t="s">
        <v>40</v>
      </c>
      <c r="X16" s="26" t="s">
        <v>81</v>
      </c>
    </row>
    <row r="17" spans="1:24" s="4" customFormat="1">
      <c r="A17" s="4" t="s">
        <v>58</v>
      </c>
      <c r="B17" s="4" t="s">
        <v>96</v>
      </c>
      <c r="C17" s="4" t="s">
        <v>36</v>
      </c>
      <c r="D17" s="5">
        <v>45247.617361111108</v>
      </c>
      <c r="E17" s="9">
        <v>0.86180382</v>
      </c>
      <c r="F17" s="9">
        <v>39.850276710000003</v>
      </c>
      <c r="G17" s="5">
        <v>45247.623553240737</v>
      </c>
      <c r="H17" s="9">
        <v>0.86180382</v>
      </c>
      <c r="I17" s="9">
        <v>39.850276710000003</v>
      </c>
      <c r="J17" s="4" t="s">
        <v>75</v>
      </c>
      <c r="K17" s="4" t="s">
        <v>79</v>
      </c>
      <c r="L17" s="4">
        <v>2000</v>
      </c>
      <c r="M17" s="4">
        <v>15</v>
      </c>
      <c r="N17" s="4">
        <v>-186</v>
      </c>
      <c r="O17" s="4">
        <v>192</v>
      </c>
      <c r="P17" s="4" t="s">
        <v>8</v>
      </c>
      <c r="Q17" s="4" t="s">
        <v>25</v>
      </c>
      <c r="R17" s="23">
        <f t="shared" si="2"/>
        <v>490.41666663251817</v>
      </c>
      <c r="S17" s="24">
        <f t="shared" si="3"/>
        <v>8.1736111105419695</v>
      </c>
      <c r="T17" s="4" t="s">
        <v>16</v>
      </c>
      <c r="U17" s="4" t="s">
        <v>7</v>
      </c>
      <c r="V17" s="4" t="s">
        <v>16</v>
      </c>
      <c r="W17" s="4" t="s">
        <v>40</v>
      </c>
      <c r="X17" s="26" t="s">
        <v>81</v>
      </c>
    </row>
    <row r="18" spans="1:24" s="4" customFormat="1">
      <c r="A18" s="4" t="s">
        <v>50</v>
      </c>
      <c r="B18" s="4" t="s">
        <v>96</v>
      </c>
      <c r="C18" s="4" t="s">
        <v>36</v>
      </c>
      <c r="D18" s="5">
        <v>45424.393055555556</v>
      </c>
      <c r="E18" s="9">
        <v>0.84676936000000003</v>
      </c>
      <c r="F18" s="9">
        <v>39.78360747</v>
      </c>
      <c r="G18" s="5">
        <v>45424.398553240739</v>
      </c>
      <c r="H18" s="9">
        <v>0.84676936000000003</v>
      </c>
      <c r="I18" s="9">
        <v>39.78360747</v>
      </c>
      <c r="J18" s="4" t="s">
        <v>75</v>
      </c>
      <c r="K18" s="4" t="s">
        <v>79</v>
      </c>
      <c r="L18" s="4">
        <v>2000</v>
      </c>
      <c r="M18" s="4">
        <v>15</v>
      </c>
      <c r="N18" s="4">
        <v>-642</v>
      </c>
      <c r="O18" s="4">
        <v>48</v>
      </c>
      <c r="P18" s="4" t="s">
        <v>9</v>
      </c>
      <c r="Q18" s="4" t="s">
        <v>25</v>
      </c>
      <c r="R18" s="23">
        <f t="shared" si="2"/>
        <v>435.41666645323858</v>
      </c>
      <c r="S18" s="24">
        <f t="shared" si="3"/>
        <v>7.2569444408873096</v>
      </c>
      <c r="T18" s="27" t="s">
        <v>13</v>
      </c>
      <c r="U18" s="4">
        <v>5</v>
      </c>
      <c r="V18" s="27" t="s">
        <v>13</v>
      </c>
      <c r="W18" s="4" t="s">
        <v>39</v>
      </c>
      <c r="X18" s="26" t="s">
        <v>86</v>
      </c>
    </row>
    <row r="19" spans="1:24" s="4" customFormat="1">
      <c r="A19" s="4" t="s">
        <v>59</v>
      </c>
      <c r="B19" s="4" t="s">
        <v>96</v>
      </c>
      <c r="C19" s="4" t="s">
        <v>36</v>
      </c>
      <c r="D19" s="5">
        <v>45424.393055555556</v>
      </c>
      <c r="E19" s="9">
        <v>0.84676936000000003</v>
      </c>
      <c r="F19" s="9">
        <v>39.78360747</v>
      </c>
      <c r="G19" s="5">
        <v>45424.398553240739</v>
      </c>
      <c r="H19" s="9">
        <v>0.84676936000000003</v>
      </c>
      <c r="I19" s="9">
        <v>39.78360747</v>
      </c>
      <c r="J19" s="4" t="s">
        <v>75</v>
      </c>
      <c r="K19" s="4" t="s">
        <v>79</v>
      </c>
      <c r="L19" s="4">
        <v>2000</v>
      </c>
      <c r="M19" s="4">
        <v>15</v>
      </c>
      <c r="N19" s="4">
        <v>-642</v>
      </c>
      <c r="O19" s="4">
        <v>192</v>
      </c>
      <c r="P19" s="4" t="s">
        <v>9</v>
      </c>
      <c r="Q19" s="4" t="s">
        <v>25</v>
      </c>
      <c r="R19" s="23">
        <f t="shared" si="2"/>
        <v>435.41666645323858</v>
      </c>
      <c r="S19" s="24">
        <f t="shared" si="3"/>
        <v>7.2569444408873096</v>
      </c>
      <c r="T19" s="27" t="s">
        <v>13</v>
      </c>
      <c r="U19" s="4">
        <v>5</v>
      </c>
      <c r="V19" s="27" t="s">
        <v>13</v>
      </c>
      <c r="W19" s="4" t="s">
        <v>39</v>
      </c>
      <c r="X19" s="26" t="s">
        <v>86</v>
      </c>
    </row>
    <row r="20" spans="1:24" s="4" customFormat="1">
      <c r="A20" s="4" t="s">
        <v>60</v>
      </c>
      <c r="B20" s="4" t="s">
        <v>96</v>
      </c>
      <c r="C20" s="4" t="s">
        <v>36</v>
      </c>
      <c r="D20" s="5">
        <v>45424.413194444445</v>
      </c>
      <c r="E20" s="9">
        <v>0.94849072000000001</v>
      </c>
      <c r="F20" s="9">
        <v>39.755002130000001</v>
      </c>
      <c r="G20" s="5">
        <v>45424.421469907407</v>
      </c>
      <c r="H20" s="9">
        <v>0.94849072000000001</v>
      </c>
      <c r="I20" s="9">
        <v>39.755002130000001</v>
      </c>
      <c r="J20" s="4" t="s">
        <v>75</v>
      </c>
      <c r="K20" s="4" t="s">
        <v>79</v>
      </c>
      <c r="L20" s="4">
        <v>2000</v>
      </c>
      <c r="M20" s="4">
        <v>15</v>
      </c>
      <c r="N20" s="4">
        <v>-1134</v>
      </c>
      <c r="O20" s="4">
        <v>48</v>
      </c>
      <c r="P20" s="4" t="s">
        <v>9</v>
      </c>
      <c r="Q20" s="4" t="s">
        <v>25</v>
      </c>
      <c r="R20" s="23">
        <f t="shared" si="2"/>
        <v>655.41666659410112</v>
      </c>
      <c r="S20" s="24">
        <f t="shared" si="3"/>
        <v>10.923611109901685</v>
      </c>
      <c r="T20" s="27" t="s">
        <v>13</v>
      </c>
      <c r="U20" s="4">
        <v>5</v>
      </c>
      <c r="V20" s="27" t="s">
        <v>13</v>
      </c>
      <c r="W20" s="4" t="s">
        <v>39</v>
      </c>
      <c r="X20" s="26" t="s">
        <v>86</v>
      </c>
    </row>
    <row r="21" spans="1:24" s="4" customFormat="1">
      <c r="A21" s="4" t="s">
        <v>61</v>
      </c>
      <c r="B21" s="4" t="s">
        <v>96</v>
      </c>
      <c r="C21" s="4" t="s">
        <v>36</v>
      </c>
      <c r="D21" s="5">
        <v>45424.413194444445</v>
      </c>
      <c r="E21" s="9">
        <v>0.94849072000000001</v>
      </c>
      <c r="F21" s="9">
        <v>39.755002130000001</v>
      </c>
      <c r="G21" s="5">
        <v>45424.421469907407</v>
      </c>
      <c r="H21" s="9">
        <v>0.94849072000000001</v>
      </c>
      <c r="I21" s="9">
        <v>39.755002130000001</v>
      </c>
      <c r="J21" s="4" t="s">
        <v>75</v>
      </c>
      <c r="K21" s="4" t="s">
        <v>79</v>
      </c>
      <c r="L21" s="4">
        <v>2000</v>
      </c>
      <c r="M21" s="4">
        <v>15</v>
      </c>
      <c r="N21" s="4">
        <v>-1134</v>
      </c>
      <c r="O21" s="4">
        <v>192</v>
      </c>
      <c r="P21" s="4" t="s">
        <v>9</v>
      </c>
      <c r="Q21" s="4" t="s">
        <v>25</v>
      </c>
      <c r="R21" s="23">
        <f t="shared" si="2"/>
        <v>655.41666659410112</v>
      </c>
      <c r="S21" s="24">
        <f t="shared" si="3"/>
        <v>10.923611109901685</v>
      </c>
      <c r="T21" s="27" t="s">
        <v>13</v>
      </c>
      <c r="U21" s="4">
        <v>5</v>
      </c>
      <c r="V21" s="27" t="s">
        <v>13</v>
      </c>
      <c r="W21" s="4" t="s">
        <v>39</v>
      </c>
      <c r="X21" s="26" t="s">
        <v>86</v>
      </c>
    </row>
    <row r="22" spans="1:24" s="4" customFormat="1">
      <c r="A22" s="4" t="s">
        <v>62</v>
      </c>
      <c r="B22" s="4" t="s">
        <v>96</v>
      </c>
      <c r="C22" s="4" t="s">
        <v>37</v>
      </c>
      <c r="D22" s="5">
        <v>45447.402083333334</v>
      </c>
      <c r="E22" s="9">
        <v>3.7361111</v>
      </c>
      <c r="F22" s="9">
        <v>39.888333330000002</v>
      </c>
      <c r="G22" s="5">
        <v>45447.410358796296</v>
      </c>
      <c r="H22" s="9">
        <v>3.7361111</v>
      </c>
      <c r="I22" s="9">
        <v>39.888333330000002</v>
      </c>
      <c r="J22" s="4" t="s">
        <v>76</v>
      </c>
      <c r="K22" s="4" t="s">
        <v>79</v>
      </c>
      <c r="L22" s="4">
        <v>2000</v>
      </c>
      <c r="M22" s="4">
        <v>15</v>
      </c>
      <c r="N22" s="4">
        <v>-72</v>
      </c>
      <c r="O22" s="4">
        <v>48</v>
      </c>
      <c r="P22" s="4" t="s">
        <v>8</v>
      </c>
      <c r="Q22" s="4" t="s">
        <v>25</v>
      </c>
      <c r="R22" s="23">
        <f t="shared" si="2"/>
        <v>655.41666659410112</v>
      </c>
      <c r="S22" s="24">
        <f t="shared" si="3"/>
        <v>10.923611109901685</v>
      </c>
      <c r="T22" s="4" t="s">
        <v>15</v>
      </c>
      <c r="U22" s="4">
        <v>2</v>
      </c>
      <c r="V22" s="4" t="s">
        <v>15</v>
      </c>
      <c r="W22" s="4" t="s">
        <v>39</v>
      </c>
      <c r="X22" s="4" t="s">
        <v>82</v>
      </c>
    </row>
    <row r="23" spans="1:24" s="4" customFormat="1">
      <c r="A23" s="4" t="s">
        <v>63</v>
      </c>
      <c r="B23" s="4" t="s">
        <v>96</v>
      </c>
      <c r="C23" s="4" t="s">
        <v>37</v>
      </c>
      <c r="D23" s="5">
        <v>45447.402083333334</v>
      </c>
      <c r="E23" s="9">
        <v>3.7361111</v>
      </c>
      <c r="F23" s="9">
        <v>39.888333330000002</v>
      </c>
      <c r="G23" s="5">
        <v>45447.410358796296</v>
      </c>
      <c r="H23" s="9">
        <v>3.7361111</v>
      </c>
      <c r="I23" s="9">
        <v>39.888333330000002</v>
      </c>
      <c r="J23" s="4" t="s">
        <v>76</v>
      </c>
      <c r="K23" s="4" t="s">
        <v>79</v>
      </c>
      <c r="L23" s="4">
        <v>2000</v>
      </c>
      <c r="M23" s="4">
        <v>15</v>
      </c>
      <c r="N23" s="4">
        <v>-72</v>
      </c>
      <c r="O23" s="4">
        <v>192</v>
      </c>
      <c r="P23" s="4" t="s">
        <v>8</v>
      </c>
      <c r="Q23" s="4" t="s">
        <v>25</v>
      </c>
      <c r="R23" s="23">
        <f t="shared" si="2"/>
        <v>655.41666659410112</v>
      </c>
      <c r="S23" s="24">
        <f t="shared" si="3"/>
        <v>10.923611109901685</v>
      </c>
      <c r="T23" s="4" t="s">
        <v>15</v>
      </c>
      <c r="U23" s="4">
        <v>2</v>
      </c>
      <c r="V23" s="4" t="s">
        <v>15</v>
      </c>
      <c r="W23" s="4" t="s">
        <v>39</v>
      </c>
      <c r="X23" s="4" t="s">
        <v>82</v>
      </c>
    </row>
    <row r="24" spans="1:24" s="4" customFormat="1">
      <c r="A24" s="4" t="s">
        <v>64</v>
      </c>
      <c r="B24" s="4" t="s">
        <v>96</v>
      </c>
      <c r="C24" s="4" t="s">
        <v>37</v>
      </c>
      <c r="D24" s="5">
        <v>45456.538194444445</v>
      </c>
      <c r="E24" s="9">
        <v>3.2036111100000002</v>
      </c>
      <c r="F24" s="9">
        <v>39.305</v>
      </c>
      <c r="G24" s="5">
        <v>45456.545775462961</v>
      </c>
      <c r="H24" s="9">
        <v>3.2036111100000002</v>
      </c>
      <c r="I24" s="9">
        <v>39.305</v>
      </c>
      <c r="J24" s="4" t="s">
        <v>76</v>
      </c>
      <c r="K24" s="4" t="s">
        <v>79</v>
      </c>
      <c r="L24" s="4">
        <v>2000</v>
      </c>
      <c r="M24" s="4">
        <v>15</v>
      </c>
      <c r="N24" s="4">
        <v>-65</v>
      </c>
      <c r="O24" s="4">
        <v>48</v>
      </c>
      <c r="P24" s="4" t="s">
        <v>8</v>
      </c>
      <c r="Q24" s="4" t="s">
        <v>25</v>
      </c>
      <c r="R24" s="23">
        <f t="shared" si="2"/>
        <v>600.41666641482152</v>
      </c>
      <c r="S24" s="24">
        <f t="shared" si="3"/>
        <v>10.006944440247025</v>
      </c>
      <c r="T24" s="4" t="s">
        <v>13</v>
      </c>
      <c r="U24" s="4">
        <v>1</v>
      </c>
      <c r="V24" s="4" t="s">
        <v>13</v>
      </c>
      <c r="W24" s="4" t="s">
        <v>39</v>
      </c>
      <c r="X24" s="4" t="s">
        <v>7</v>
      </c>
    </row>
    <row r="25" spans="1:24" s="4" customFormat="1">
      <c r="A25" s="4" t="s">
        <v>65</v>
      </c>
      <c r="B25" s="4" t="s">
        <v>96</v>
      </c>
      <c r="C25" s="4" t="s">
        <v>37</v>
      </c>
      <c r="D25" s="5">
        <v>45456.538194444445</v>
      </c>
      <c r="E25" s="9">
        <v>3.2036111100000002</v>
      </c>
      <c r="F25" s="9">
        <v>39.305</v>
      </c>
      <c r="G25" s="5">
        <v>45456.545775462961</v>
      </c>
      <c r="H25" s="9">
        <v>3.2036111100000002</v>
      </c>
      <c r="I25" s="9">
        <v>39.305</v>
      </c>
      <c r="J25" s="4" t="s">
        <v>76</v>
      </c>
      <c r="K25" s="4" t="s">
        <v>79</v>
      </c>
      <c r="L25" s="4">
        <v>2000</v>
      </c>
      <c r="M25" s="4">
        <v>15</v>
      </c>
      <c r="N25" s="4">
        <v>-65</v>
      </c>
      <c r="O25" s="4">
        <v>192</v>
      </c>
      <c r="P25" s="4" t="s">
        <v>8</v>
      </c>
      <c r="Q25" s="4" t="s">
        <v>25</v>
      </c>
      <c r="R25" s="23">
        <f t="shared" si="2"/>
        <v>600.41666641482152</v>
      </c>
      <c r="S25" s="24">
        <f t="shared" si="3"/>
        <v>10.006944440247025</v>
      </c>
      <c r="T25" s="4" t="s">
        <v>13</v>
      </c>
      <c r="U25" s="4">
        <v>1</v>
      </c>
      <c r="V25" s="4" t="s">
        <v>13</v>
      </c>
      <c r="W25" s="4" t="s">
        <v>39</v>
      </c>
      <c r="X25" s="4" t="s">
        <v>7</v>
      </c>
    </row>
    <row r="26" spans="1:24" s="4" customFormat="1">
      <c r="A26" s="4" t="s">
        <v>66</v>
      </c>
      <c r="B26" s="4" t="s">
        <v>96</v>
      </c>
      <c r="C26" s="4" t="s">
        <v>37</v>
      </c>
      <c r="D26" s="5">
        <v>45457.436111111114</v>
      </c>
      <c r="E26" s="9">
        <v>3.2555555599999999</v>
      </c>
      <c r="F26" s="9">
        <v>39.133611109999997</v>
      </c>
      <c r="G26" s="5">
        <v>45457.442997685182</v>
      </c>
      <c r="H26" s="9">
        <v>3.2555555599999999</v>
      </c>
      <c r="I26" s="9">
        <v>39.133611109999997</v>
      </c>
      <c r="J26" s="4" t="s">
        <v>76</v>
      </c>
      <c r="K26" s="4" t="s">
        <v>79</v>
      </c>
      <c r="L26" s="4">
        <v>2000</v>
      </c>
      <c r="M26" s="4">
        <v>15</v>
      </c>
      <c r="N26" s="4">
        <v>-1755</v>
      </c>
      <c r="O26" s="4">
        <v>48</v>
      </c>
      <c r="P26" s="4" t="s">
        <v>8</v>
      </c>
      <c r="Q26" s="4" t="s">
        <v>25</v>
      </c>
      <c r="R26" s="23">
        <f t="shared" si="2"/>
        <v>545.41666623554192</v>
      </c>
      <c r="S26" s="24">
        <f t="shared" si="3"/>
        <v>9.0902777705923654</v>
      </c>
      <c r="T26" s="4" t="s">
        <v>14</v>
      </c>
      <c r="U26" s="4">
        <v>10</v>
      </c>
      <c r="V26" s="4" t="s">
        <v>14</v>
      </c>
      <c r="W26" s="4" t="s">
        <v>84</v>
      </c>
      <c r="X26" s="4" t="s">
        <v>7</v>
      </c>
    </row>
    <row r="27" spans="1:24" s="4" customFormat="1">
      <c r="A27" s="4" t="s">
        <v>67</v>
      </c>
      <c r="B27" s="4" t="s">
        <v>96</v>
      </c>
      <c r="C27" s="4" t="s">
        <v>37</v>
      </c>
      <c r="D27" s="5">
        <v>45457.436111111114</v>
      </c>
      <c r="E27" s="9">
        <v>3.2555555599999999</v>
      </c>
      <c r="F27" s="9">
        <v>39.133611109999997</v>
      </c>
      <c r="G27" s="5">
        <v>45457.442997685182</v>
      </c>
      <c r="H27" s="9">
        <v>3.2555555599999999</v>
      </c>
      <c r="I27" s="9">
        <v>39.133611109999997</v>
      </c>
      <c r="J27" s="4" t="s">
        <v>76</v>
      </c>
      <c r="K27" s="4" t="s">
        <v>79</v>
      </c>
      <c r="L27" s="4">
        <v>2000</v>
      </c>
      <c r="M27" s="4">
        <v>15</v>
      </c>
      <c r="N27" s="4">
        <v>-1755</v>
      </c>
      <c r="O27" s="4">
        <v>192</v>
      </c>
      <c r="P27" s="4" t="s">
        <v>8</v>
      </c>
      <c r="Q27" s="4" t="s">
        <v>25</v>
      </c>
      <c r="R27" s="23">
        <f t="shared" si="2"/>
        <v>545.41666623554192</v>
      </c>
      <c r="S27" s="24">
        <f t="shared" si="3"/>
        <v>9.0902777705923654</v>
      </c>
      <c r="T27" s="4" t="s">
        <v>14</v>
      </c>
      <c r="U27" s="4">
        <v>10</v>
      </c>
      <c r="V27" s="4" t="s">
        <v>14</v>
      </c>
      <c r="W27" s="4" t="s">
        <v>84</v>
      </c>
      <c r="X27" s="4" t="s">
        <v>7</v>
      </c>
    </row>
    <row r="28" spans="1:24" s="4" customFormat="1">
      <c r="A28" s="4" t="s">
        <v>68</v>
      </c>
      <c r="B28" s="4" t="s">
        <v>96</v>
      </c>
      <c r="C28" s="4" t="s">
        <v>36</v>
      </c>
      <c r="D28" s="5">
        <v>45461.386805555558</v>
      </c>
      <c r="E28" s="9">
        <v>0.38276700000000002</v>
      </c>
      <c r="F28" s="9">
        <v>39.549509</v>
      </c>
      <c r="G28" s="5">
        <v>45461.394386574073</v>
      </c>
      <c r="H28" s="9">
        <v>0.38276700000000002</v>
      </c>
      <c r="I28" s="9">
        <v>39.549509</v>
      </c>
      <c r="J28" s="4" t="s">
        <v>75</v>
      </c>
      <c r="K28" s="4" t="s">
        <v>79</v>
      </c>
      <c r="L28" s="4">
        <v>2000</v>
      </c>
      <c r="M28" s="4">
        <v>15</v>
      </c>
      <c r="N28" s="4">
        <v>-890</v>
      </c>
      <c r="O28" s="4">
        <v>48</v>
      </c>
      <c r="P28" s="4" t="s">
        <v>8</v>
      </c>
      <c r="Q28" s="4" t="s">
        <v>25</v>
      </c>
      <c r="R28" s="23">
        <f t="shared" si="2"/>
        <v>600.41666641482152</v>
      </c>
      <c r="S28" s="24">
        <f t="shared" si="3"/>
        <v>10.006944440247025</v>
      </c>
      <c r="T28" s="4" t="s">
        <v>17</v>
      </c>
      <c r="U28" s="4">
        <v>4</v>
      </c>
      <c r="V28" s="4" t="s">
        <v>17</v>
      </c>
      <c r="W28" s="4" t="s">
        <v>84</v>
      </c>
      <c r="X28" s="4" t="s">
        <v>83</v>
      </c>
    </row>
    <row r="29" spans="1:24" s="4" customFormat="1">
      <c r="A29" s="4" t="s">
        <v>69</v>
      </c>
      <c r="B29" s="4" t="s">
        <v>96</v>
      </c>
      <c r="C29" s="4" t="s">
        <v>36</v>
      </c>
      <c r="D29" s="5">
        <v>45461.386805555558</v>
      </c>
      <c r="E29" s="9">
        <v>0.38276700000000002</v>
      </c>
      <c r="F29" s="9">
        <v>39.549509</v>
      </c>
      <c r="G29" s="5">
        <v>45461.394386574073</v>
      </c>
      <c r="H29" s="9">
        <v>0.38276700000000002</v>
      </c>
      <c r="I29" s="9">
        <v>39.549509</v>
      </c>
      <c r="J29" s="4" t="s">
        <v>75</v>
      </c>
      <c r="K29" s="4" t="s">
        <v>79</v>
      </c>
      <c r="L29" s="4">
        <v>2000</v>
      </c>
      <c r="M29" s="4">
        <v>15</v>
      </c>
      <c r="N29" s="4">
        <v>-890</v>
      </c>
      <c r="O29" s="4">
        <v>192</v>
      </c>
      <c r="P29" s="4" t="s">
        <v>8</v>
      </c>
      <c r="Q29" s="4" t="s">
        <v>25</v>
      </c>
      <c r="R29" s="23">
        <f t="shared" si="2"/>
        <v>600.41666641482152</v>
      </c>
      <c r="S29" s="24">
        <f>R29/60</f>
        <v>10.006944440247025</v>
      </c>
      <c r="T29" s="4" t="s">
        <v>17</v>
      </c>
      <c r="U29" s="4">
        <v>4</v>
      </c>
      <c r="V29" s="4" t="s">
        <v>17</v>
      </c>
      <c r="W29" s="4" t="s">
        <v>84</v>
      </c>
      <c r="X29" s="4" t="s">
        <v>83</v>
      </c>
    </row>
    <row r="30" spans="1:24" s="28" customFormat="1">
      <c r="A30" s="4" t="s">
        <v>70</v>
      </c>
      <c r="B30" s="4" t="s">
        <v>96</v>
      </c>
      <c r="C30" s="4" t="s">
        <v>36</v>
      </c>
      <c r="D30" s="5">
        <v>45461.401388888888</v>
      </c>
      <c r="E30" s="9">
        <v>0.38276700000000002</v>
      </c>
      <c r="F30" s="9">
        <v>39.549509</v>
      </c>
      <c r="G30" s="5">
        <v>45461.404108796298</v>
      </c>
      <c r="H30" s="9">
        <v>0.38276700000000002</v>
      </c>
      <c r="I30" s="9">
        <v>39.549509</v>
      </c>
      <c r="J30" s="4" t="s">
        <v>75</v>
      </c>
      <c r="K30" s="4" t="s">
        <v>79</v>
      </c>
      <c r="L30" s="4">
        <v>2000</v>
      </c>
      <c r="M30" s="4">
        <v>15</v>
      </c>
      <c r="N30" s="4">
        <v>-890</v>
      </c>
      <c r="O30" s="4">
        <v>48</v>
      </c>
      <c r="P30" s="4" t="s">
        <v>8</v>
      </c>
      <c r="Q30" s="4" t="s">
        <v>25</v>
      </c>
      <c r="R30" s="23">
        <f t="shared" si="2"/>
        <v>215.41666688863188</v>
      </c>
      <c r="S30" s="24">
        <f t="shared" ref="S30" si="4">R30/60</f>
        <v>3.590277781477198</v>
      </c>
      <c r="T30" s="4" t="s">
        <v>17</v>
      </c>
      <c r="U30" s="4">
        <v>4</v>
      </c>
      <c r="V30" s="4" t="s">
        <v>17</v>
      </c>
      <c r="W30" s="4" t="s">
        <v>84</v>
      </c>
      <c r="X30" s="4" t="s">
        <v>91</v>
      </c>
    </row>
    <row r="31" spans="1:24" s="28" customFormat="1">
      <c r="A31" s="4" t="s">
        <v>71</v>
      </c>
      <c r="B31" s="4" t="s">
        <v>96</v>
      </c>
      <c r="C31" s="4" t="s">
        <v>36</v>
      </c>
      <c r="D31" s="5">
        <v>45461.401388888888</v>
      </c>
      <c r="E31" s="9">
        <v>0.38276700000000002</v>
      </c>
      <c r="F31" s="9">
        <v>39.549509</v>
      </c>
      <c r="G31" s="5">
        <v>45461.404108796298</v>
      </c>
      <c r="H31" s="9">
        <v>0.38276700000000002</v>
      </c>
      <c r="I31" s="9">
        <v>39.549509</v>
      </c>
      <c r="J31" s="4" t="s">
        <v>75</v>
      </c>
      <c r="K31" s="4" t="s">
        <v>79</v>
      </c>
      <c r="L31" s="4">
        <v>2000</v>
      </c>
      <c r="M31" s="4">
        <v>15</v>
      </c>
      <c r="N31" s="4">
        <v>-890</v>
      </c>
      <c r="O31" s="4">
        <v>192</v>
      </c>
      <c r="P31" s="4" t="s">
        <v>8</v>
      </c>
      <c r="Q31" s="4" t="s">
        <v>25</v>
      </c>
      <c r="R31" s="23">
        <f t="shared" si="2"/>
        <v>215.41666688863188</v>
      </c>
      <c r="S31" s="24">
        <f>R31/60</f>
        <v>3.590277781477198</v>
      </c>
      <c r="T31" s="4" t="s">
        <v>17</v>
      </c>
      <c r="U31" s="4">
        <v>4</v>
      </c>
      <c r="V31" s="4" t="s">
        <v>17</v>
      </c>
      <c r="W31" s="4" t="s">
        <v>84</v>
      </c>
      <c r="X31" s="4" t="s">
        <v>91</v>
      </c>
    </row>
    <row r="32" spans="1:24" s="4" customFormat="1">
      <c r="A32" s="4" t="s">
        <v>89</v>
      </c>
      <c r="B32" s="4" t="s">
        <v>96</v>
      </c>
      <c r="C32" s="4" t="s">
        <v>36</v>
      </c>
      <c r="D32" s="5">
        <v>45461.425000000003</v>
      </c>
      <c r="E32" s="9">
        <v>0.38276700000000002</v>
      </c>
      <c r="F32" s="9">
        <v>39.549509</v>
      </c>
      <c r="G32" s="5">
        <v>45461.431886574072</v>
      </c>
      <c r="H32" s="9">
        <v>0.38276700000000002</v>
      </c>
      <c r="I32" s="9">
        <v>39.549509</v>
      </c>
      <c r="J32" s="4" t="s">
        <v>75</v>
      </c>
      <c r="K32" s="4" t="s">
        <v>79</v>
      </c>
      <c r="L32" s="4">
        <v>2000</v>
      </c>
      <c r="M32" s="4">
        <v>15</v>
      </c>
      <c r="N32" s="4">
        <v>-890</v>
      </c>
      <c r="O32" s="4">
        <v>48</v>
      </c>
      <c r="P32" s="4" t="s">
        <v>8</v>
      </c>
      <c r="Q32" s="4" t="s">
        <v>25</v>
      </c>
      <c r="R32" s="23">
        <f t="shared" si="2"/>
        <v>545.41666623554192</v>
      </c>
      <c r="S32" s="24">
        <f>R32/60</f>
        <v>9.0902777705923654</v>
      </c>
      <c r="T32" s="4" t="s">
        <v>17</v>
      </c>
      <c r="U32" s="4">
        <v>5</v>
      </c>
      <c r="V32" s="4" t="s">
        <v>17</v>
      </c>
      <c r="W32" s="4" t="s">
        <v>39</v>
      </c>
      <c r="X32" s="4" t="s">
        <v>83</v>
      </c>
    </row>
    <row r="33" spans="1:24" s="4" customFormat="1">
      <c r="A33" s="4" t="s">
        <v>90</v>
      </c>
      <c r="B33" s="4" t="s">
        <v>96</v>
      </c>
      <c r="C33" s="4" t="s">
        <v>36</v>
      </c>
      <c r="D33" s="5">
        <v>45461.425000000003</v>
      </c>
      <c r="E33" s="9">
        <v>0.38276700000000002</v>
      </c>
      <c r="F33" s="9">
        <v>39.549509</v>
      </c>
      <c r="G33" s="5">
        <v>45461.431886574072</v>
      </c>
      <c r="H33" s="9">
        <v>0.38276700000000002</v>
      </c>
      <c r="I33" s="9">
        <v>39.549509</v>
      </c>
      <c r="J33" s="4" t="s">
        <v>75</v>
      </c>
      <c r="K33" s="4" t="s">
        <v>79</v>
      </c>
      <c r="L33" s="4">
        <v>2000</v>
      </c>
      <c r="M33" s="4">
        <v>15</v>
      </c>
      <c r="N33" s="4">
        <v>-890</v>
      </c>
      <c r="O33" s="4">
        <v>192</v>
      </c>
      <c r="P33" s="4" t="s">
        <v>8</v>
      </c>
      <c r="Q33" s="4" t="s">
        <v>25</v>
      </c>
      <c r="R33" s="23">
        <f t="shared" si="2"/>
        <v>545.41666623554192</v>
      </c>
      <c r="S33" s="24">
        <f>R33/60</f>
        <v>9.0902777705923654</v>
      </c>
      <c r="T33" s="4" t="s">
        <v>17</v>
      </c>
      <c r="U33" s="4">
        <v>5</v>
      </c>
      <c r="V33" s="4" t="s">
        <v>17</v>
      </c>
      <c r="W33" s="4" t="s">
        <v>39</v>
      </c>
      <c r="X33" s="4" t="s">
        <v>83</v>
      </c>
    </row>
    <row r="34" spans="1:24">
      <c r="N34" s="2"/>
      <c r="O34"/>
      <c r="R34" s="2"/>
      <c r="S34"/>
      <c r="U34" s="1"/>
      <c r="X34"/>
    </row>
    <row r="35" spans="1:24">
      <c r="N35" s="2"/>
      <c r="O35"/>
      <c r="R35" s="2"/>
      <c r="S35"/>
      <c r="U35" s="1"/>
      <c r="X35"/>
    </row>
    <row r="36" spans="1:24" s="11" customFormat="1">
      <c r="D36" s="12"/>
      <c r="E36" s="13"/>
      <c r="F36" s="13"/>
      <c r="G36" s="12"/>
      <c r="H36" s="13"/>
      <c r="I36" s="13"/>
      <c r="K36" s="3"/>
      <c r="L36" s="3"/>
      <c r="M36" s="3"/>
      <c r="N36" s="3"/>
      <c r="R36" s="14"/>
      <c r="S36" s="15"/>
    </row>
    <row r="37" spans="1:24" s="11" customFormat="1">
      <c r="E37" s="12"/>
      <c r="F37" s="13"/>
      <c r="G37" s="13"/>
      <c r="H37" s="12"/>
      <c r="I37" s="13"/>
      <c r="J37" s="13"/>
      <c r="L37" s="3"/>
      <c r="M37" s="19"/>
      <c r="N37" s="20"/>
      <c r="O37" s="20"/>
      <c r="S37" s="14"/>
      <c r="T37" s="15"/>
    </row>
    <row r="38" spans="1:24">
      <c r="M38" s="3"/>
      <c r="N38" s="20"/>
      <c r="O38" s="20"/>
    </row>
    <row r="39" spans="1:24" s="11" customFormat="1">
      <c r="E39" s="12"/>
      <c r="F39" s="13"/>
      <c r="G39" s="13"/>
      <c r="H39" s="12"/>
      <c r="I39" s="13"/>
      <c r="J39" s="13"/>
      <c r="L39" s="3"/>
      <c r="M39" s="3"/>
      <c r="N39" s="20"/>
      <c r="O39" s="21"/>
      <c r="S39" s="30"/>
      <c r="T39" s="15"/>
    </row>
    <row r="40" spans="1:24" s="11" customFormat="1">
      <c r="E40" s="12"/>
      <c r="F40" s="13"/>
      <c r="G40" s="13"/>
      <c r="H40" s="12"/>
      <c r="I40" s="13"/>
      <c r="J40" s="13"/>
      <c r="L40" s="3"/>
      <c r="M40" s="3"/>
      <c r="N40" s="3"/>
      <c r="O40" s="3"/>
      <c r="S40" s="14"/>
      <c r="T40" s="15"/>
    </row>
    <row r="41" spans="1:24" s="11" customFormat="1">
      <c r="E41" s="12"/>
      <c r="F41" s="13"/>
      <c r="G41" s="13"/>
      <c r="H41" s="12"/>
      <c r="I41" s="13"/>
      <c r="J41" s="13"/>
      <c r="S41" s="14"/>
      <c r="T41" s="15"/>
    </row>
    <row r="42" spans="1:24">
      <c r="M42" s="2"/>
      <c r="N42" s="22"/>
      <c r="O42" s="17"/>
      <c r="P42" s="2"/>
      <c r="U42" s="10"/>
    </row>
    <row r="43" spans="1:24">
      <c r="M43" s="2"/>
      <c r="N43" s="16"/>
      <c r="O43" s="17"/>
      <c r="P43" s="2"/>
    </row>
    <row r="44" spans="1:24">
      <c r="N44" s="18"/>
      <c r="O44" s="10"/>
    </row>
    <row r="45" spans="1:24">
      <c r="N45" s="18"/>
      <c r="O45" s="10"/>
    </row>
    <row r="46" spans="1:24">
      <c r="N46" s="18"/>
      <c r="O46" s="10"/>
    </row>
    <row r="47" spans="1:24">
      <c r="N47" s="18"/>
      <c r="O47" s="10"/>
    </row>
    <row r="48" spans="1:24">
      <c r="N48" s="18"/>
      <c r="O48" s="10"/>
    </row>
    <row r="51" spans="1:13">
      <c r="A51" s="4"/>
      <c r="B51" s="4"/>
      <c r="C51" s="4"/>
      <c r="F51" s="5"/>
      <c r="G51" s="9"/>
      <c r="H51" s="9"/>
      <c r="I51" s="5"/>
    </row>
    <row r="52" spans="1:13">
      <c r="A52" s="4"/>
      <c r="B52" s="4"/>
      <c r="C52" s="4"/>
      <c r="F52" s="5"/>
      <c r="G52" s="9"/>
      <c r="H52" s="9"/>
      <c r="I52" s="5"/>
    </row>
    <row r="53" spans="1:13">
      <c r="A53" s="4"/>
      <c r="B53" s="4"/>
      <c r="C53" s="4"/>
      <c r="F53" s="5"/>
      <c r="G53" s="9"/>
      <c r="H53" s="9"/>
      <c r="I53" s="5"/>
    </row>
    <row r="54" spans="1:13">
      <c r="A54" s="4"/>
      <c r="B54" s="4"/>
      <c r="C54" s="4"/>
      <c r="F54" s="5"/>
      <c r="G54" s="9"/>
      <c r="H54" s="9"/>
      <c r="I54" s="5"/>
    </row>
    <row r="55" spans="1:13">
      <c r="A55" s="4"/>
      <c r="B55" s="4"/>
      <c r="C55" s="4"/>
      <c r="F55" s="5"/>
      <c r="G55" s="9"/>
      <c r="H55" s="9"/>
      <c r="I55" s="5"/>
      <c r="M55" s="1"/>
    </row>
    <row r="56" spans="1:13">
      <c r="A56" s="4"/>
      <c r="B56" s="4"/>
      <c r="C56" s="4"/>
      <c r="F56" s="5"/>
      <c r="G56" s="9"/>
      <c r="H56" s="9"/>
      <c r="I56" s="5"/>
      <c r="M56" s="1"/>
    </row>
    <row r="57" spans="1:13">
      <c r="A57" s="4"/>
      <c r="B57" s="4"/>
      <c r="C57" s="4"/>
      <c r="F57" s="5"/>
      <c r="G57" s="9"/>
      <c r="H57" s="9"/>
      <c r="I57" s="5"/>
      <c r="M57" s="1"/>
    </row>
    <row r="58" spans="1:13">
      <c r="A58" s="4"/>
      <c r="B58" s="4"/>
      <c r="C58" s="4"/>
      <c r="F58" s="5"/>
      <c r="G58" s="9"/>
      <c r="H58" s="9"/>
      <c r="I58" s="5"/>
      <c r="M58" s="1"/>
    </row>
    <row r="59" spans="1:13">
      <c r="A59" s="4"/>
      <c r="B59" s="4"/>
      <c r="C59" s="4"/>
      <c r="F59" s="5"/>
      <c r="G59" s="9"/>
      <c r="H59" s="9"/>
      <c r="I59" s="5"/>
      <c r="M59" s="1"/>
    </row>
    <row r="60" spans="1:13">
      <c r="A60" s="4"/>
      <c r="B60" s="4"/>
      <c r="C60" s="4"/>
      <c r="F60" s="5"/>
      <c r="G60" s="9"/>
      <c r="H60" s="9"/>
      <c r="I60" s="5"/>
      <c r="M60" s="1"/>
    </row>
    <row r="61" spans="1:13">
      <c r="A61" s="4"/>
      <c r="B61" s="4"/>
      <c r="C61" s="4"/>
      <c r="F61" s="5"/>
      <c r="G61" s="9"/>
      <c r="H61" s="9"/>
      <c r="I61" s="5"/>
      <c r="M61" s="1"/>
    </row>
    <row r="62" spans="1:13">
      <c r="A62" s="4"/>
      <c r="B62" s="4"/>
      <c r="C62" s="4"/>
      <c r="F62" s="5"/>
      <c r="G62" s="9"/>
      <c r="H62" s="9"/>
      <c r="I62" s="5"/>
      <c r="M62" s="1"/>
    </row>
    <row r="63" spans="1:13">
      <c r="A63" s="4"/>
      <c r="B63" s="4"/>
      <c r="C63" s="4"/>
      <c r="F63" s="5"/>
      <c r="G63" s="9"/>
      <c r="H63" s="9"/>
      <c r="I63" s="5"/>
      <c r="M63" s="1"/>
    </row>
    <row r="64" spans="1:13">
      <c r="A64" s="4"/>
      <c r="B64" s="4"/>
      <c r="C64" s="4"/>
      <c r="F64" s="5"/>
      <c r="G64" s="9"/>
      <c r="H64" s="9"/>
      <c r="I64" s="5"/>
      <c r="M64" s="1"/>
    </row>
    <row r="65" spans="1:13">
      <c r="A65" s="4"/>
      <c r="B65" s="4"/>
      <c r="C65" s="4"/>
      <c r="F65" s="5"/>
      <c r="G65" s="9"/>
      <c r="H65" s="9"/>
      <c r="I65" s="5"/>
      <c r="M65" s="1"/>
    </row>
    <row r="66" spans="1:13">
      <c r="A66" s="4"/>
      <c r="B66" s="4"/>
      <c r="C66" s="4"/>
      <c r="F66" s="5"/>
      <c r="G66" s="9"/>
      <c r="H66" s="9"/>
      <c r="I66" s="5"/>
      <c r="M66" s="1"/>
    </row>
    <row r="67" spans="1:13">
      <c r="A67" s="4"/>
      <c r="B67" s="4"/>
      <c r="C67" s="4"/>
      <c r="F67" s="5"/>
      <c r="G67" s="9"/>
      <c r="H67" s="9"/>
      <c r="I67" s="5"/>
      <c r="M67" s="1"/>
    </row>
    <row r="68" spans="1:13">
      <c r="A68" s="4"/>
      <c r="B68" s="4"/>
      <c r="C68" s="4"/>
      <c r="F68" s="5"/>
      <c r="G68" s="9"/>
      <c r="H68" s="9"/>
      <c r="I68" s="5"/>
      <c r="M68" s="1"/>
    </row>
    <row r="69" spans="1:13">
      <c r="A69" s="4"/>
      <c r="B69" s="4"/>
      <c r="C69" s="4"/>
      <c r="F69" s="5"/>
      <c r="G69" s="9"/>
      <c r="H69" s="9"/>
      <c r="I69" s="5"/>
      <c r="M69" s="1"/>
    </row>
    <row r="70" spans="1:13">
      <c r="A70" s="4"/>
      <c r="B70" s="4"/>
      <c r="C70" s="4"/>
      <c r="F70" s="5"/>
      <c r="G70" s="9"/>
      <c r="H70" s="9"/>
      <c r="I70" s="5"/>
      <c r="M70" s="1"/>
    </row>
    <row r="71" spans="1:13">
      <c r="A71" s="4"/>
      <c r="B71" s="4"/>
      <c r="C71" s="4"/>
      <c r="F71" s="5"/>
      <c r="G71" s="9"/>
      <c r="H71" s="9"/>
      <c r="I71" s="5"/>
      <c r="M71" s="1"/>
    </row>
    <row r="72" spans="1:13">
      <c r="M72" s="1"/>
    </row>
    <row r="73" spans="1:13">
      <c r="M73" s="1"/>
    </row>
    <row r="74" spans="1:13">
      <c r="M74" s="1"/>
    </row>
    <row r="75" spans="1:13">
      <c r="M75" s="1"/>
    </row>
    <row r="76" spans="1:13">
      <c r="M76" s="1"/>
    </row>
    <row r="77" spans="1:13">
      <c r="M7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Greta Jankauskaite .</dc:creator>
  <cp:keywords/>
  <dc:description/>
  <cp:lastModifiedBy>Greta Jankauskaite .</cp:lastModifiedBy>
  <cp:revision/>
  <dcterms:created xsi:type="dcterms:W3CDTF">2024-05-16T21:11:47Z</dcterms:created>
  <dcterms:modified xsi:type="dcterms:W3CDTF">2025-11-10T21:22:53Z</dcterms:modified>
  <cp:category/>
  <cp:contentStatus/>
</cp:coreProperties>
</file>